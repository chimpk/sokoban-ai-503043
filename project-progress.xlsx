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o Dõi Công Việc" sheetId="1" state="visible" r:id="rId1"/>
    <sheet xmlns:r="http://schemas.openxmlformats.org/officeDocument/2006/relationships" name="Kiểm Tra Yêu Cầu" sheetId="2" state="visible" r:id="rId2"/>
    <sheet xmlns:r="http://schemas.openxmlformats.org/officeDocument/2006/relationships" name="Phân Bổ Khối Lượng" sheetId="3" state="visible" r:id="rId3"/>
  </sheets>
  <definedNames>
    <definedName name="_xlnm._FilterDatabase" localSheetId="0" hidden="1">'Theo Dõi Công Việc'!$A$1:$I$21</definedName>
    <definedName name="_xlnm._FilterDatabase" localSheetId="1" hidden="1">'Kiểm Tra Yêu Cầu'!$A$1:$F$14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b val="1"/>
    </font>
  </fonts>
  <fills count="4">
    <fill>
      <patternFill/>
    </fill>
    <fill>
      <patternFill patternType="gray125"/>
    </fill>
    <fill>
      <patternFill patternType="solid">
        <fgColor rgb="001F3864"/>
        <bgColor rgb="001F3864"/>
      </patternFill>
    </fill>
    <fill>
      <patternFill patternType="solid">
        <fgColor rgb="00F5F7FA"/>
        <bgColor rgb="00F5F7F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wrapText="1"/>
    </xf>
    <xf numFmtId="0" fontId="0" fillId="0" borderId="0" applyAlignment="1" pivotButton="0" quotePrefix="0" xfId="0">
      <alignment wrapText="1"/>
    </xf>
    <xf numFmtId="0" fontId="0" fillId="3" borderId="0" pivotButton="0" quotePrefix="0" xfId="0"/>
    <xf numFmtId="0" fontId="0" fillId="3" borderId="0" applyAlignment="1" pivotButton="0" quotePrefix="0" xfId="0">
      <alignment wrapText="1"/>
    </xf>
    <xf numFmtId="10" fontId="0" fillId="0" borderId="0" pivotButton="0" quotePrefix="0" xfId="0"/>
    <xf numFmtId="0" fontId="2" fillId="0" borderId="0" pivotButton="0" quotePrefix="0" xfId="0"/>
  </cellXfs>
  <cellStyles count="1">
    <cellStyle name="Normal" xfId="0" builtinId="0" hidden="0"/>
  </cellStyles>
  <dxfs count="7">
    <dxf>
      <fill>
        <patternFill patternType="solid">
          <fgColor rgb="00FFF2CC"/>
          <bgColor rgb="00FFF2CC"/>
        </patternFill>
      </fill>
    </dxf>
    <dxf>
      <fill>
        <patternFill patternType="solid">
          <fgColor rgb="00DDEBF7"/>
          <bgColor rgb="00DDEBF7"/>
        </patternFill>
      </fill>
    </dxf>
    <dxf>
      <fill>
        <patternFill patternType="solid">
          <fgColor rgb="00C6EFCE"/>
          <bgColor rgb="00C6EFCE"/>
        </patternFill>
      </fill>
    </dxf>
    <dxf>
      <fill>
        <patternFill patternType="solid">
          <fgColor rgb="00E2EFDA"/>
          <bgColor rgb="00E2EFDA"/>
        </patternFill>
      </fill>
    </dxf>
    <dxf>
      <fill>
        <patternFill patternType="solid">
          <fgColor rgb="00FCE4D6"/>
          <bgColor rgb="00FCE4D6"/>
        </patternFill>
      </fill>
    </dxf>
    <dxf>
      <fill>
        <patternFill patternType="solid">
          <fgColor rgb="00D9E1F2"/>
          <bgColor rgb="00D9E1F2"/>
        </patternFill>
      </fill>
    </dxf>
    <dxf>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2" max="2"/>
    <col width="45" customWidth="1" min="3" max="3"/>
    <col width="40" customWidth="1" min="9" max="9"/>
  </cols>
  <sheetData>
    <row r="1">
      <c r="A1" s="1" t="inlineStr">
        <is>
          <t>Mã</t>
        </is>
      </c>
      <c r="B1" s="1" t="inlineStr">
        <is>
          <t>Tính năng</t>
        </is>
      </c>
      <c r="C1" s="2" t="inlineStr">
        <is>
          <t>Công việc</t>
        </is>
      </c>
      <c r="D1" s="1" t="inlineStr">
        <is>
          <t>Loại</t>
        </is>
      </c>
      <c r="E1" s="1" t="inlineStr">
        <is>
          <t>Thành viên</t>
        </is>
      </c>
      <c r="F1" s="1" t="inlineStr">
        <is>
          <t>Giờ ước tính</t>
        </is>
      </c>
      <c r="G1" s="1" t="inlineStr">
        <is>
          <t>Trạng thái</t>
        </is>
      </c>
      <c r="H1" s="1" t="inlineStr">
        <is>
          <t>Hạn chót</t>
        </is>
      </c>
      <c r="I1" s="2" t="inlineStr">
        <is>
          <t>Ghi chú</t>
        </is>
      </c>
    </row>
    <row r="2">
      <c r="A2" t="inlineStr">
        <is>
          <t>T01</t>
        </is>
      </c>
      <c r="B2" t="inlineStr">
        <is>
          <t>Mô hình hoá</t>
        </is>
      </c>
      <c r="C2" s="3" t="inlineStr">
        <is>
          <t>Thiết kế State, Actions, Start, Goal</t>
        </is>
      </c>
      <c r="D2" t="inlineStr">
        <is>
          <t>Tài liệu</t>
        </is>
      </c>
      <c r="E2" t="inlineStr">
        <is>
          <t>Member 1</t>
        </is>
      </c>
      <c r="F2" t="n">
        <v>3</v>
      </c>
      <c r="G2" t="inlineStr">
        <is>
          <t>CẦN LÀM</t>
        </is>
      </c>
      <c r="H2" t="inlineStr">
        <is>
          <t>2026-10-04</t>
        </is>
      </c>
      <c r="I2" s="3" t="inlineStr">
        <is>
          <t>Không bỏ sót element (Path Cost, Deadlock). -&gt; PR #1</t>
        </is>
      </c>
    </row>
    <row r="3">
      <c r="A3" s="4" t="inlineStr">
        <is>
          <t>T02</t>
        </is>
      </c>
      <c r="B3" s="4" t="inlineStr">
        <is>
          <t>Core</t>
        </is>
      </c>
      <c r="C3" s="5" t="inlineStr">
        <is>
          <t>Cài đặt file core cho State-Space (Python)</t>
        </is>
      </c>
      <c r="D3" s="4" t="inlineStr">
        <is>
          <t>Code</t>
        </is>
      </c>
      <c r="E3" s="4" t="inlineStr">
        <is>
          <t>Member 1</t>
        </is>
      </c>
      <c r="F3" s="4" t="n">
        <v>5</v>
      </c>
      <c r="G3" s="4" t="inlineStr">
        <is>
          <t>CẦN LÀM</t>
        </is>
      </c>
      <c r="H3" s="4" t="inlineStr">
        <is>
          <t>2026-10-05</t>
        </is>
      </c>
      <c r="I3" s="5" t="inlineStr">
        <is>
          <t>Đảm bảo hash O(1).</t>
        </is>
      </c>
    </row>
    <row r="4">
      <c r="A4" t="inlineStr">
        <is>
          <t>T03</t>
        </is>
      </c>
      <c r="B4" t="inlineStr">
        <is>
          <t>Unit Test</t>
        </is>
      </c>
      <c r="C4" s="3" t="inlineStr">
        <is>
          <t>Viết 5 bộ Unit Test cho trạng thái</t>
        </is>
      </c>
      <c r="D4" t="inlineStr">
        <is>
          <t>Kiểm thử</t>
        </is>
      </c>
      <c r="E4" t="inlineStr">
        <is>
          <t>Member 1</t>
        </is>
      </c>
      <c r="F4" t="n">
        <v>4</v>
      </c>
      <c r="G4" t="inlineStr">
        <is>
          <t>CẦN LÀM</t>
        </is>
      </c>
      <c r="H4" t="inlineStr">
        <is>
          <t>2026-10-05</t>
        </is>
      </c>
      <c r="I4" s="3" t="inlineStr">
        <is>
          <t>Bao trùm edge cases.</t>
        </is>
      </c>
    </row>
    <row r="5">
      <c r="A5" s="4" t="inlineStr">
        <is>
          <t>T04</t>
        </is>
      </c>
      <c r="B5" s="4" t="inlineStr">
        <is>
          <t>Giao diện</t>
        </is>
      </c>
      <c r="C5" s="5" t="inlineStr">
        <is>
          <t>Khởi tạo Pygame, load map tĩnh</t>
        </is>
      </c>
      <c r="D5" s="4" t="inlineStr">
        <is>
          <t>Code</t>
        </is>
      </c>
      <c r="E5" s="4" t="inlineStr">
        <is>
          <t>Member 4</t>
        </is>
      </c>
      <c r="F5" s="4" t="n">
        <v>5</v>
      </c>
      <c r="G5" s="4" t="inlineStr">
        <is>
          <t>CẦN LÀM</t>
        </is>
      </c>
      <c r="H5" s="4" t="inlineStr">
        <is>
          <t>2026-10-05</t>
        </is>
      </c>
      <c r="I5" s="5" t="inlineStr">
        <is>
          <t>Tỷ lệ động, tương thích macOS. -&gt; PR #2</t>
        </is>
      </c>
    </row>
    <row r="6">
      <c r="A6" t="inlineStr">
        <is>
          <t>T05</t>
        </is>
      </c>
      <c r="B6" t="inlineStr">
        <is>
          <t>UCS</t>
        </is>
      </c>
      <c r="C6" s="3" t="inlineStr">
        <is>
          <t>Cài đặt thuật toán UCS</t>
        </is>
      </c>
      <c r="D6" t="inlineStr">
        <is>
          <t>Code</t>
        </is>
      </c>
      <c r="E6" t="inlineStr">
        <is>
          <t>Member 1</t>
        </is>
      </c>
      <c r="F6" t="n">
        <v>5</v>
      </c>
      <c r="G6" t="inlineStr">
        <is>
          <t>CẦN LÀM</t>
        </is>
      </c>
      <c r="H6" t="inlineStr">
        <is>
          <t>2026-10-06</t>
        </is>
      </c>
      <c r="I6" s="3" t="inlineStr">
        <is>
          <t>Test chạy đúng path. -&gt; PR #3</t>
        </is>
      </c>
    </row>
    <row r="7">
      <c r="A7" s="4" t="inlineStr">
        <is>
          <t>T06</t>
        </is>
      </c>
      <c r="B7" s="4" t="inlineStr">
        <is>
          <t>Heuristic</t>
        </is>
      </c>
      <c r="C7" s="5" t="inlineStr">
        <is>
          <t>Thiết kế hàm Heuristic (Hungarian/Bipartite)</t>
        </is>
      </c>
      <c r="D7" s="4" t="inlineStr">
        <is>
          <t>Tài liệu</t>
        </is>
      </c>
      <c r="E7" s="4" t="inlineStr">
        <is>
          <t>Member 2</t>
        </is>
      </c>
      <c r="F7" s="4" t="n">
        <v>4</v>
      </c>
      <c r="G7" s="4" t="inlineStr">
        <is>
          <t>CẦN LÀM</t>
        </is>
      </c>
      <c r="H7" s="4" t="inlineStr">
        <is>
          <t>2026-10-06</t>
        </is>
      </c>
      <c r="I7" s="5" t="inlineStr">
        <is>
          <t>CẤM dùng Euclidean, Manhattan</t>
        </is>
      </c>
    </row>
    <row r="8">
      <c r="A8" t="inlineStr">
        <is>
          <t>T07</t>
        </is>
      </c>
      <c r="B8" t="inlineStr">
        <is>
          <t>Luật Đối Kháng</t>
        </is>
      </c>
      <c r="C8" s="3" t="inlineStr">
        <is>
          <t>Thiết kế luật 2 agent, xử lý xung đột</t>
        </is>
      </c>
      <c r="D8" t="inlineStr">
        <is>
          <t>Tài liệu</t>
        </is>
      </c>
      <c r="E8" t="inlineStr">
        <is>
          <t>Member 3</t>
        </is>
      </c>
      <c r="F8" t="n">
        <v>4</v>
      </c>
      <c r="G8" t="inlineStr">
        <is>
          <t>CẦN LÀM</t>
        </is>
      </c>
      <c r="H8" t="inlineStr">
        <is>
          <t>2026-10-06</t>
        </is>
      </c>
      <c r="I8" s="3" t="inlineStr">
        <is>
          <t>Không đi xuyên nhau, cướp hộp</t>
        </is>
      </c>
    </row>
    <row r="9">
      <c r="A9" s="4" t="inlineStr">
        <is>
          <t>T08</t>
        </is>
      </c>
      <c r="B9" s="4" t="inlineStr">
        <is>
          <t>A* Search</t>
        </is>
      </c>
      <c r="C9" s="5" t="inlineStr">
        <is>
          <t>Cài đặt A* Search với Heuristic</t>
        </is>
      </c>
      <c r="D9" s="4" t="inlineStr">
        <is>
          <t>Code</t>
        </is>
      </c>
      <c r="E9" s="4" t="inlineStr">
        <is>
          <t>Member 2</t>
        </is>
      </c>
      <c r="F9" s="4" t="n">
        <v>6</v>
      </c>
      <c r="G9" s="4" t="inlineStr">
        <is>
          <t>CẦN LÀM</t>
        </is>
      </c>
      <c r="H9" s="4" t="inlineStr">
        <is>
          <t>2026-10-08</t>
        </is>
      </c>
      <c r="I9" s="5" t="inlineStr">
        <is>
          <t>Tối ưu bộ nhớ. -&gt; PR #4</t>
        </is>
      </c>
    </row>
    <row r="10">
      <c r="A10" t="inlineStr">
        <is>
          <t>T09</t>
        </is>
      </c>
      <c r="B10" t="inlineStr">
        <is>
          <t>Competitive Env</t>
        </is>
      </c>
      <c r="C10" s="3" t="inlineStr">
        <is>
          <t>Cài đặt môi trường thi đấu đối kháng</t>
        </is>
      </c>
      <c r="D10" t="inlineStr">
        <is>
          <t>Code</t>
        </is>
      </c>
      <c r="E10" t="inlineStr">
        <is>
          <t>Member 3</t>
        </is>
      </c>
      <c r="F10" t="n">
        <v>6</v>
      </c>
      <c r="G10" t="inlineStr">
        <is>
          <t>CẦN LÀM</t>
        </is>
      </c>
      <c r="H10" t="inlineStr">
        <is>
          <t>2026-10-08</t>
        </is>
      </c>
      <c r="I10" s="3" t="inlineStr">
        <is>
          <t>Map 14x14, xử lý đồng thời</t>
        </is>
      </c>
    </row>
    <row r="11">
      <c r="A11" s="4" t="inlineStr">
        <is>
          <t>T10</t>
        </is>
      </c>
      <c r="B11" s="4" t="inlineStr">
        <is>
          <t>GUI Playback</t>
        </is>
      </c>
      <c r="C11" s="5" t="inlineStr">
        <is>
          <t>Tích hợp thuật toán vào Pygame GUI</t>
        </is>
      </c>
      <c r="D11" s="4" t="inlineStr">
        <is>
          <t>Code</t>
        </is>
      </c>
      <c r="E11" s="4" t="inlineStr">
        <is>
          <t>Member 4</t>
        </is>
      </c>
      <c r="F11" s="4" t="n">
        <v>6</v>
      </c>
      <c r="G11" s="4" t="inlineStr">
        <is>
          <t>CẦN LÀM</t>
        </is>
      </c>
      <c r="H11" s="4" t="inlineStr">
        <is>
          <t>2026-10-08</t>
        </is>
      </c>
      <c r="I11" s="5" t="inlineStr">
        <is>
          <t>Có pause, tiến, lùi bằng phím. -&gt; PR #5</t>
        </is>
      </c>
    </row>
    <row r="12">
      <c r="A12" t="inlineStr">
        <is>
          <t>T11</t>
        </is>
      </c>
      <c r="B12" t="inlineStr">
        <is>
          <t>AI Agent</t>
        </is>
      </c>
      <c r="C12" s="3" t="inlineStr">
        <is>
          <t>Cài đặt 2 AI điều khiển agent (đối kháng)</t>
        </is>
      </c>
      <c r="D12" t="inlineStr">
        <is>
          <t>Code</t>
        </is>
      </c>
      <c r="E12" t="inlineStr">
        <is>
          <t>Member 3</t>
        </is>
      </c>
      <c r="F12" t="n">
        <v>7</v>
      </c>
      <c r="G12" t="inlineStr">
        <is>
          <t>CẦN LÀM</t>
        </is>
      </c>
      <c r="H12" t="inlineStr">
        <is>
          <t>2026-10-10</t>
        </is>
      </c>
      <c r="I12" s="3" t="inlineStr">
        <is>
          <t>Thuật toán &lt; 1000ms mỗi quyết định. -&gt; PR #6</t>
        </is>
      </c>
    </row>
    <row r="13">
      <c r="A13" s="4" t="inlineStr">
        <is>
          <t>T12</t>
        </is>
      </c>
      <c r="B13" s="4" t="inlineStr">
        <is>
          <t>Admissibility</t>
        </is>
      </c>
      <c r="C13" s="5" t="inlineStr">
        <is>
          <t>Thực nghiệm chứng minh Admissible/Consistent</t>
        </is>
      </c>
      <c r="D13" s="4" t="inlineStr">
        <is>
          <t>Kiểm thử</t>
        </is>
      </c>
      <c r="E13" s="4" t="inlineStr">
        <is>
          <t>Member 2</t>
        </is>
      </c>
      <c r="F13" s="4" t="n">
        <v>5</v>
      </c>
      <c r="G13" s="4" t="inlineStr">
        <is>
          <t>CẦN LÀM</t>
        </is>
      </c>
      <c r="H13" s="4" t="inlineStr">
        <is>
          <t>2026-10-11</t>
        </is>
      </c>
      <c r="I13" s="5" t="inlineStr">
        <is>
          <t>Báo cáo thực nghiệm 0% vi phạm</t>
        </is>
      </c>
    </row>
    <row r="14">
      <c r="A14" t="inlineStr">
        <is>
          <t>T13</t>
        </is>
      </c>
      <c r="B14" t="inlineStr">
        <is>
          <t>Benchmark</t>
        </is>
      </c>
      <c r="C14" s="3" t="inlineStr">
        <is>
          <t>Cài script đo lường UCS vs A*</t>
        </is>
      </c>
      <c r="D14" t="inlineStr">
        <is>
          <t>Code</t>
        </is>
      </c>
      <c r="E14" t="inlineStr">
        <is>
          <t>Member 4</t>
        </is>
      </c>
      <c r="F14" t="n">
        <v>4</v>
      </c>
      <c r="G14" t="inlineStr">
        <is>
          <t>CẦN LÀM</t>
        </is>
      </c>
      <c r="H14" t="inlineStr">
        <is>
          <t>2026-10-11</t>
        </is>
      </c>
      <c r="I14" s="3" t="inlineStr">
        <is>
          <t>Đo thời gian và không gian. -&gt; PR #7</t>
        </is>
      </c>
    </row>
    <row r="15">
      <c r="A15" s="4" t="inlineStr">
        <is>
          <t>T14</t>
        </is>
      </c>
      <c r="B15" s="4" t="inlineStr">
        <is>
          <t>Cross-Testing</t>
        </is>
      </c>
      <c r="C15" s="5" t="inlineStr">
        <is>
          <t>Tổ chức test chéo, fix bug toàn hệ thống</t>
        </is>
      </c>
      <c r="D15" s="4" t="inlineStr">
        <is>
          <t>Kiểm thử</t>
        </is>
      </c>
      <c r="E15" s="4" t="inlineStr">
        <is>
          <t>Member 1</t>
        </is>
      </c>
      <c r="F15" s="4" t="n">
        <v>3</v>
      </c>
      <c r="G15" s="4" t="inlineStr">
        <is>
          <t>CẦN LÀM</t>
        </is>
      </c>
      <c r="H15" s="4" t="inlineStr">
        <is>
          <t>2026-10-12</t>
        </is>
      </c>
      <c r="I15" s="5" t="inlineStr">
        <is>
          <t>Review các PR và đảm bảo system stable</t>
        </is>
      </c>
    </row>
    <row r="16">
      <c r="A16" t="inlineStr">
        <is>
          <t>T15</t>
        </is>
      </c>
      <c r="B16" t="inlineStr">
        <is>
          <t>Slide 1,2,3</t>
        </is>
      </c>
      <c r="C16" s="3" t="inlineStr">
        <is>
          <t>Soạn slide Formulation &amp; UCS</t>
        </is>
      </c>
      <c r="D16" t="inlineStr">
        <is>
          <t>Báo cáo</t>
        </is>
      </c>
      <c r="E16" t="inlineStr">
        <is>
          <t>Member 1</t>
        </is>
      </c>
      <c r="F16" t="n">
        <v>2</v>
      </c>
      <c r="G16" t="inlineStr">
        <is>
          <t>CẦN LÀM</t>
        </is>
      </c>
      <c r="H16" t="inlineStr">
        <is>
          <t>2026-10-13</t>
        </is>
      </c>
      <c r="I16" s="3" t="inlineStr">
        <is>
          <t>Slide 4:3, nền sáng, chữ đen</t>
        </is>
      </c>
    </row>
    <row r="17">
      <c r="A17" s="4" t="inlineStr">
        <is>
          <t>T16</t>
        </is>
      </c>
      <c r="B17" s="4" t="inlineStr">
        <is>
          <t>Slide 4,5,6</t>
        </is>
      </c>
      <c r="C17" s="5" t="inlineStr">
        <is>
          <t>Soạn slide Heuristic, A*, Chứng minh</t>
        </is>
      </c>
      <c r="D17" s="4" t="inlineStr">
        <is>
          <t>Báo cáo</t>
        </is>
      </c>
      <c r="E17" s="4" t="inlineStr">
        <is>
          <t>Member 2</t>
        </is>
      </c>
      <c r="F17" s="4" t="n">
        <v>2</v>
      </c>
      <c r="G17" s="4" t="inlineStr">
        <is>
          <t>CẦN LÀM</t>
        </is>
      </c>
      <c r="H17" s="4" t="inlineStr">
        <is>
          <t>2026-10-13</t>
        </is>
      </c>
      <c r="I17" s="5" t="inlineStr">
        <is>
          <t>Rõ ràng khi in trắng đen</t>
        </is>
      </c>
    </row>
    <row r="18">
      <c r="A18" t="inlineStr">
        <is>
          <t>T17</t>
        </is>
      </c>
      <c r="B18" t="inlineStr">
        <is>
          <t>Slide 7,8</t>
        </is>
      </c>
      <c r="C18" s="3" t="inlineStr">
        <is>
          <t>Soạn slide Competitive &amp; AI</t>
        </is>
      </c>
      <c r="D18" t="inlineStr">
        <is>
          <t>Báo cáo</t>
        </is>
      </c>
      <c r="E18" t="inlineStr">
        <is>
          <t>Member 3</t>
        </is>
      </c>
      <c r="F18" t="n">
        <v>2</v>
      </c>
      <c r="G18" t="inlineStr">
        <is>
          <t>CẦN LÀM</t>
        </is>
      </c>
      <c r="H18" t="inlineStr">
        <is>
          <t>2026-10-13</t>
        </is>
      </c>
      <c r="I18" s="3" t="inlineStr">
        <is>
          <t>Không copy raw source code</t>
        </is>
      </c>
    </row>
    <row r="19">
      <c r="A19" s="4" t="inlineStr">
        <is>
          <t>T18</t>
        </is>
      </c>
      <c r="B19" s="4" t="inlineStr">
        <is>
          <t>Slide 9,10</t>
        </is>
      </c>
      <c r="C19" s="5" t="inlineStr">
        <is>
          <t>Soạn slide GUI &amp; Benchmark</t>
        </is>
      </c>
      <c r="D19" s="4" t="inlineStr">
        <is>
          <t>Báo cáo</t>
        </is>
      </c>
      <c r="E19" s="4" t="inlineStr">
        <is>
          <t>Member 4</t>
        </is>
      </c>
      <c r="F19" s="4" t="n">
        <v>2</v>
      </c>
      <c r="G19" s="4" t="inlineStr">
        <is>
          <t>CẦN LÀM</t>
        </is>
      </c>
      <c r="H19" s="4" t="inlineStr">
        <is>
          <t>2026-10-13</t>
        </is>
      </c>
      <c r="I19" s="5" t="inlineStr">
        <is>
          <t>Thêm bảng % hoàn thành task</t>
        </is>
      </c>
    </row>
    <row r="20">
      <c r="A20" t="inlineStr">
        <is>
          <t>T19</t>
        </is>
      </c>
      <c r="B20" t="inlineStr">
        <is>
          <t>Video Demo</t>
        </is>
      </c>
      <c r="C20" s="3" t="inlineStr">
        <is>
          <t>Quay video demo sản phẩm (&lt; 3 phút)</t>
        </is>
      </c>
      <c r="D20" t="inlineStr">
        <is>
          <t>Demo</t>
        </is>
      </c>
      <c r="E20" t="inlineStr">
        <is>
          <t>Member 4</t>
        </is>
      </c>
      <c r="F20" t="n">
        <v>2</v>
      </c>
      <c r="G20" t="inlineStr">
        <is>
          <t>CẦN LÀM</t>
        </is>
      </c>
      <c r="H20" t="inlineStr">
        <is>
          <t>2026-10-14</t>
        </is>
      </c>
      <c r="I20" s="3" t="inlineStr">
        <is>
          <t>Up link URL vào demo.txt</t>
        </is>
      </c>
    </row>
    <row r="21">
      <c r="A21" s="4" t="inlineStr">
        <is>
          <t>T20</t>
        </is>
      </c>
      <c r="B21" s="4" t="inlineStr">
        <is>
          <t>Đóng gói file</t>
        </is>
      </c>
      <c r="C21" s="5" t="inlineStr">
        <is>
          <t>Zip file theo cấu trúc yêu cầu</t>
        </is>
      </c>
      <c r="D21" s="4" t="inlineStr">
        <is>
          <t>Báo cáo</t>
        </is>
      </c>
      <c r="E21" s="4" t="inlineStr">
        <is>
          <t>Member 1</t>
        </is>
      </c>
      <c r="F21" s="4" t="n">
        <v>1</v>
      </c>
      <c r="G21" s="4" t="inlineStr">
        <is>
          <t>CẦN LÀM</t>
        </is>
      </c>
      <c r="H21" s="4" t="inlineStr">
        <is>
          <t>2026-10-15</t>
        </is>
      </c>
      <c r="I21" s="5" t="inlineStr">
        <is>
          <t>AI_midterm_&lt;ID Nhóm&gt;_&lt;ID SV&gt;</t>
        </is>
      </c>
    </row>
  </sheetData>
  <autoFilter ref="A1:I21"/>
  <conditionalFormatting sqref="G2:G21">
    <cfRule type="cellIs" priority="1" operator="equal" dxfId="0">
      <formula>"CẦN LÀM"</formula>
    </cfRule>
    <cfRule type="cellIs" priority="2" operator="equal" dxfId="1">
      <formula>"ĐANG LÀM"</formula>
    </cfRule>
    <cfRule type="cellIs" priority="3" operator="equal" dxfId="2">
      <formula>"HOÀN THÀNH"</formula>
    </cfRule>
  </conditionalFormatting>
  <conditionalFormatting sqref="E2:E21">
    <cfRule type="cellIs" priority="4" operator="equal" dxfId="3">
      <formula>"Member 1"</formula>
    </cfRule>
    <cfRule type="cellIs" priority="5" operator="equal" dxfId="4">
      <formula>"Member 2"</formula>
    </cfRule>
    <cfRule type="cellIs" priority="6" operator="equal" dxfId="5">
      <formula>"Member 3"</formula>
    </cfRule>
    <cfRule type="cellIs" priority="7" operator="equal" dxfId="0">
      <formula>"Member 4"</formula>
    </cfRule>
  </conditionalFormatting>
  <dataValidations count="1">
    <dataValidation sqref="G2 G3 G4 G5 G6 G7 G8 G9 G10 G11 G12 G13 G14 G15 G16 G17 G18 G19 G20 G21" showDropDown="0" showInputMessage="0" showErrorMessage="0" allowBlank="0" type="list">
      <formula1>"CẦN LÀM,ĐANG LÀM,HOÀN THÀNH"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0" customWidth="1" min="3" max="3"/>
  </cols>
  <sheetData>
    <row r="1">
      <c r="A1" s="1" t="inlineStr">
        <is>
          <t>Yêu cầu</t>
        </is>
      </c>
      <c r="B1" s="1" t="inlineStr">
        <is>
          <t>Điểm thành phần</t>
        </is>
      </c>
      <c r="C1" s="1" t="inlineStr">
        <is>
          <t>Thành viên</t>
        </is>
      </c>
      <c r="D1" s="1" t="inlineStr">
        <is>
          <t>Đã lập trình?</t>
        </is>
      </c>
      <c r="E1" s="1" t="inlineStr">
        <is>
          <t>Đã kiểm thử?</t>
        </is>
      </c>
      <c r="F1" s="1" t="inlineStr">
        <is>
          <t>Đã tài liệu hóa?</t>
        </is>
      </c>
    </row>
    <row r="2">
      <c r="A2" t="inlineStr">
        <is>
          <t>Formulation - Biểu diễn State-Space, Actions, Goal</t>
        </is>
      </c>
      <c r="B2" t="inlineStr">
        <is>
          <t>1.0</t>
        </is>
      </c>
      <c r="C2" t="inlineStr">
        <is>
          <t>Member 1</t>
        </is>
      </c>
      <c r="D2" t="inlineStr">
        <is>
          <t>Chưa</t>
        </is>
      </c>
      <c r="E2" t="inlineStr">
        <is>
          <t>Chưa</t>
        </is>
      </c>
      <c r="F2" t="inlineStr">
        <is>
          <t>Chưa</t>
        </is>
      </c>
    </row>
    <row r="3">
      <c r="A3" t="inlineStr">
        <is>
          <t>UCS - Cài đặt UCS algorithm</t>
        </is>
      </c>
      <c r="B3" t="inlineStr">
        <is>
          <t>0.5</t>
        </is>
      </c>
      <c r="C3" t="inlineStr">
        <is>
          <t>Member 1</t>
        </is>
      </c>
      <c r="D3" t="inlineStr">
        <is>
          <t>Chưa</t>
        </is>
      </c>
      <c r="E3" t="inlineStr">
        <is>
          <t>Chưa</t>
        </is>
      </c>
      <c r="F3" t="inlineStr">
        <is>
          <t>Chưa</t>
        </is>
      </c>
    </row>
    <row r="4">
      <c r="A4" t="inlineStr">
        <is>
          <t>A* - Cài đặt A* algorithm</t>
        </is>
      </c>
      <c r="B4" t="inlineStr">
        <is>
          <t>0.5</t>
        </is>
      </c>
      <c r="C4" t="inlineStr">
        <is>
          <t>Member 2</t>
        </is>
      </c>
      <c r="D4" t="inlineStr">
        <is>
          <t>Chưa</t>
        </is>
      </c>
      <c r="E4" t="inlineStr">
        <is>
          <t>Chưa</t>
        </is>
      </c>
      <c r="F4" t="inlineStr">
        <is>
          <t>Chưa</t>
        </is>
      </c>
    </row>
    <row r="5">
      <c r="A5" t="inlineStr">
        <is>
          <t>Heuristic - Không dùng Manhattan/Euclidean</t>
        </is>
      </c>
      <c r="B5" t="inlineStr">
        <is>
          <t>0.5</t>
        </is>
      </c>
      <c r="C5" t="inlineStr">
        <is>
          <t>Member 2</t>
        </is>
      </c>
      <c r="D5" t="inlineStr">
        <is>
          <t>Chưa</t>
        </is>
      </c>
      <c r="E5" t="inlineStr">
        <is>
          <t>Chưa</t>
        </is>
      </c>
      <c r="F5" t="inlineStr">
        <is>
          <t>Chưa</t>
        </is>
      </c>
    </row>
    <row r="6">
      <c r="A6" t="inlineStr">
        <is>
          <t>Complexity - So sánh time và space complexity</t>
        </is>
      </c>
      <c r="B6" t="inlineStr">
        <is>
          <t>1.0</t>
        </is>
      </c>
      <c r="C6" t="inlineStr">
        <is>
          <t>Member 4</t>
        </is>
      </c>
      <c r="D6" t="inlineStr">
        <is>
          <t>Chưa</t>
        </is>
      </c>
      <c r="E6" t="inlineStr">
        <is>
          <t>Chưa</t>
        </is>
      </c>
      <c r="F6" t="inlineStr">
        <is>
          <t>Chưa</t>
        </is>
      </c>
    </row>
    <row r="7">
      <c r="A7" t="inlineStr">
        <is>
          <t>Admissibility &amp; Consistency - Đánh giá Heuristic</t>
        </is>
      </c>
      <c r="B7" t="inlineStr">
        <is>
          <t>1.0</t>
        </is>
      </c>
      <c r="C7" t="inlineStr">
        <is>
          <t>Member 2</t>
        </is>
      </c>
      <c r="D7" t="inlineStr">
        <is>
          <t>Chưa</t>
        </is>
      </c>
      <c r="E7" t="inlineStr">
        <is>
          <t>Chưa</t>
        </is>
      </c>
      <c r="F7" t="inlineStr">
        <is>
          <t>Chưa</t>
        </is>
      </c>
    </row>
    <row r="8">
      <c r="A8" t="inlineStr">
        <is>
          <t>GUI - Giao diện Pygame, UX, Playback</t>
        </is>
      </c>
      <c r="B8" t="inlineStr">
        <is>
          <t>1.0</t>
        </is>
      </c>
      <c r="C8" t="inlineStr">
        <is>
          <t>Member 4</t>
        </is>
      </c>
      <c r="D8" t="inlineStr">
        <is>
          <t>Chưa</t>
        </is>
      </c>
      <c r="E8" t="inlineStr">
        <is>
          <t>Chưa</t>
        </is>
      </c>
      <c r="F8" t="inlineStr">
        <is>
          <t>Chưa</t>
        </is>
      </c>
    </row>
    <row r="9">
      <c r="A9" t="inlineStr">
        <is>
          <t>MacOS Support - Đảm bảo chạy trên Ventura Intel i5</t>
        </is>
      </c>
      <c r="B9" t="inlineStr">
        <is>
          <t>0.0</t>
        </is>
      </c>
      <c r="C9" t="inlineStr">
        <is>
          <t>Member 4</t>
        </is>
      </c>
      <c r="D9" t="inlineStr">
        <is>
          <t>Chưa</t>
        </is>
      </c>
      <c r="E9" t="inlineStr">
        <is>
          <t>Chưa</t>
        </is>
      </c>
      <c r="F9" t="inlineStr">
        <is>
          <t>Chưa</t>
        </is>
      </c>
    </row>
    <row r="10">
      <c r="A10" t="inlineStr">
        <is>
          <t>Competitive Rules - Mô hình trò chơi đối kháng</t>
        </is>
      </c>
      <c r="B10" t="inlineStr">
        <is>
          <t>1.0</t>
        </is>
      </c>
      <c r="C10" t="inlineStr">
        <is>
          <t>Member 3</t>
        </is>
      </c>
      <c r="D10" t="inlineStr">
        <is>
          <t>Chưa</t>
        </is>
      </c>
      <c r="E10" t="inlineStr">
        <is>
          <t>Chưa</t>
        </is>
      </c>
      <c r="F10" t="inlineStr">
        <is>
          <t>Chưa</t>
        </is>
      </c>
    </row>
    <row r="11">
      <c r="A11" t="inlineStr">
        <is>
          <t>AI Agents - 2 agent tự chơi dựa trên thuật toán &lt;1000ms</t>
        </is>
      </c>
      <c r="B11" t="inlineStr">
        <is>
          <t>1.0</t>
        </is>
      </c>
      <c r="C11" t="inlineStr">
        <is>
          <t>Member 3</t>
        </is>
      </c>
      <c r="D11" t="inlineStr">
        <is>
          <t>Chưa</t>
        </is>
      </c>
      <c r="E11" t="inlineStr">
        <is>
          <t>Chưa</t>
        </is>
      </c>
      <c r="F11" t="inlineStr">
        <is>
          <t>Chưa</t>
        </is>
      </c>
    </row>
    <row r="12">
      <c r="A12" t="inlineStr">
        <is>
          <t>Competitive GUI - Giao diện 2 agent phân màu</t>
        </is>
      </c>
      <c r="B12" t="inlineStr">
        <is>
          <t>1.0</t>
        </is>
      </c>
      <c r="C12" t="inlineStr">
        <is>
          <t>Member 3</t>
        </is>
      </c>
      <c r="D12" t="inlineStr">
        <is>
          <t>Chưa</t>
        </is>
      </c>
      <c r="E12" t="inlineStr">
        <is>
          <t>Chưa</t>
        </is>
      </c>
      <c r="F12" t="inlineStr">
        <is>
          <t>Chưa</t>
        </is>
      </c>
    </row>
    <row r="13">
      <c r="A13" t="inlineStr">
        <is>
          <t>Presentation - Thuyết trình &lt;5p, Slide 4:3, Video &lt;3p</t>
        </is>
      </c>
      <c r="B13" t="inlineStr">
        <is>
          <t>1.0</t>
        </is>
      </c>
      <c r="C13" t="inlineStr">
        <is>
          <t>Member 1,2,3,4</t>
        </is>
      </c>
      <c r="D13" t="inlineStr">
        <is>
          <t>Chưa</t>
        </is>
      </c>
      <c r="E13" t="inlineStr">
        <is>
          <t>Chưa</t>
        </is>
      </c>
      <c r="F13" t="inlineStr">
        <is>
          <t>Chưa</t>
        </is>
      </c>
    </row>
    <row r="14">
      <c r="A14" t="inlineStr">
        <is>
          <t>Submission - Nộp source, report, demo, đúng định dạng</t>
        </is>
      </c>
      <c r="B14" t="inlineStr">
        <is>
          <t>0.0</t>
        </is>
      </c>
      <c r="C14" t="inlineStr">
        <is>
          <t>Member 1</t>
        </is>
      </c>
      <c r="D14" t="inlineStr">
        <is>
          <t>Chưa</t>
        </is>
      </c>
      <c r="E14" t="inlineStr">
        <is>
          <t>Chưa</t>
        </is>
      </c>
      <c r="F14" t="inlineStr">
        <is>
          <t>Chưa</t>
        </is>
      </c>
    </row>
  </sheetData>
  <autoFilter ref="A1:F14"/>
  <conditionalFormatting sqref="D2:F14">
    <cfRule type="cellIs" priority="1" operator="equal" dxfId="2">
      <formula>"Xong"</formula>
    </cfRule>
    <cfRule type="cellIs" priority="2" operator="equal" dxfId="6">
      <formula>"Chưa"</formula>
    </cfRule>
  </conditionalFormatting>
  <dataValidations count="1">
    <dataValidation sqref="D2 D3 D4 D5 D6 D7 D8 D9 D10 D11 D12 D13 D14 E2 E3 E4 E5 E6 E7 E8 E9 E10 E11 E12 E13 E14 F2 F3 F4 F5 F6 F7 F8 F9 F10 F11 F12 F13 F14" showDropDown="0" showInputMessage="0" showErrorMessage="0" allowBlank="0" type="list">
      <formula1>"Chưa,Xong"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20" customWidth="1" min="2" max="2"/>
    <col width="20" customWidth="1" min="3" max="3"/>
    <col width="20" customWidth="1" min="4" max="4"/>
    <col width="20" customWidth="1" min="5" max="5"/>
  </cols>
  <sheetData>
    <row r="1">
      <c r="A1" s="1" t="inlineStr">
        <is>
          <t>Thành viên</t>
        </is>
      </c>
      <c r="B1" s="1" t="inlineStr">
        <is>
          <t>Tổng số công việc</t>
        </is>
      </c>
      <c r="C1" s="1" t="inlineStr">
        <is>
          <t>Tổng giờ ước tính</t>
        </is>
      </c>
      <c r="D1" s="1" t="inlineStr">
        <is>
          <t>Công việc đã xong</t>
        </is>
      </c>
      <c r="E1" s="1" t="inlineStr">
        <is>
          <t>Tỷ lệ khối lượng %</t>
        </is>
      </c>
    </row>
    <row r="2">
      <c r="A2" t="inlineStr">
        <is>
          <t>Member 1</t>
        </is>
      </c>
      <c r="B2">
        <f>COUNTIF('Theo Dõi Công Việc'!E:E, A2)</f>
        <v/>
      </c>
      <c r="C2">
        <f>SUMIF('Theo Dõi Công Việc'!E:E, A2, 'Theo Dõi Công Việc'!F:F)</f>
        <v/>
      </c>
      <c r="D2">
        <f>COUNTIFS('Theo Dõi Công Việc'!E:E, A2, 'Theo Dõi Công Việc'!G:G, "HOÀN THÀNH")</f>
        <v/>
      </c>
      <c r="E2" s="6">
        <f>IF(SUM($C$2:$C$5)&gt;0, C2/SUM($C$2:$C$5), 0)</f>
        <v/>
      </c>
    </row>
    <row r="3">
      <c r="A3" t="inlineStr">
        <is>
          <t>Member 2</t>
        </is>
      </c>
      <c r="B3">
        <f>COUNTIF('Theo Dõi Công Việc'!E:E, A3)</f>
        <v/>
      </c>
      <c r="C3">
        <f>SUMIF('Theo Dõi Công Việc'!E:E, A3, 'Theo Dõi Công Việc'!F:F)</f>
        <v/>
      </c>
      <c r="D3">
        <f>COUNTIFS('Theo Dõi Công Việc'!E:E, A3, 'Theo Dõi Công Việc'!G:G, "HOÀN THÀNH")</f>
        <v/>
      </c>
      <c r="E3" s="6">
        <f>IF(SUM($C$2:$C$5)&gt;0, C3/SUM($C$2:$C$5), 0)</f>
        <v/>
      </c>
    </row>
    <row r="4">
      <c r="A4" t="inlineStr">
        <is>
          <t>Member 3</t>
        </is>
      </c>
      <c r="B4">
        <f>COUNTIF('Theo Dõi Công Việc'!E:E, A4)</f>
        <v/>
      </c>
      <c r="C4">
        <f>SUMIF('Theo Dõi Công Việc'!E:E, A4, 'Theo Dõi Công Việc'!F:F)</f>
        <v/>
      </c>
      <c r="D4">
        <f>COUNTIFS('Theo Dõi Công Việc'!E:E, A4, 'Theo Dõi Công Việc'!G:G, "HOÀN THÀNH")</f>
        <v/>
      </c>
      <c r="E4" s="6">
        <f>IF(SUM($C$2:$C$5)&gt;0, C4/SUM($C$2:$C$5), 0)</f>
        <v/>
      </c>
    </row>
    <row r="5">
      <c r="A5" t="inlineStr">
        <is>
          <t>Member 4</t>
        </is>
      </c>
      <c r="B5">
        <f>COUNTIF('Theo Dõi Công Việc'!E:E, A5)</f>
        <v/>
      </c>
      <c r="C5">
        <f>SUMIF('Theo Dõi Công Việc'!E:E, A5, 'Theo Dõi Công Việc'!F:F)</f>
        <v/>
      </c>
      <c r="D5">
        <f>COUNTIFS('Theo Dõi Công Việc'!E:E, A5, 'Theo Dõi Công Việc'!G:G, "HOÀN THÀNH")</f>
        <v/>
      </c>
      <c r="E5" s="6">
        <f>IF(SUM($C$2:$C$5)&gt;0, C5/SUM($C$2:$C$5), 0)</f>
        <v/>
      </c>
    </row>
    <row r="7">
      <c r="A7" s="7" t="inlineStr">
        <is>
          <t>Chênh lệch %</t>
        </is>
      </c>
      <c r="B7" s="6">
        <f>MAX(E2:E5)-MIN(E2:E5)</f>
        <v/>
      </c>
    </row>
    <row r="8">
      <c r="A8" s="7" t="inlineStr">
        <is>
          <t>Đánh giá cân bằng:</t>
        </is>
      </c>
      <c r="B8">
        <f>IF(B7&lt;=0.05,"✅ CÂN BẰNG",IF(B7&lt;=0.1,"⚠️ HƠI LỆCH","❌ LỆCH NHIỀU – CẦN ĐIỀU CHỈNH"))</f>
        <v/>
      </c>
    </row>
    <row r="9">
      <c r="A9" s="7" t="inlineStr">
        <is>
          <t>Tiến độ chung %</t>
        </is>
      </c>
      <c r="B9" s="6">
        <f>IF(SUM(B2:B5)&gt;0, SUM(D2:D5)/SUM(B2:B5), 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2026-10-02T06:23:37Z</dcterms:created>
  <dcterms:modified xmlns:dcterms="http://purl.org/dc/terms/" xmlns:xsi="http://www.w3.org/2001/XMLSchema-instance" xsi:type="dcterms:W3CDTF">2026-10-02T06:23:37Z</dcterms:modified>
</cp:coreProperties>
</file>