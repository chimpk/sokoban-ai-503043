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heo Dõi Công Việc" sheetId="1" state="visible" r:id="rId1"/>
    <sheet xmlns:r="http://schemas.openxmlformats.org/officeDocument/2006/relationships" name="Kiểm Tra Yêu Cầu" sheetId="2" state="visible" r:id="rId2"/>
    <sheet xmlns:r="http://schemas.openxmlformats.org/officeDocument/2006/relationships" name="Phân Bổ Khối Lượng" sheetId="3" state="visible" r:id="rId3"/>
  </sheets>
  <definedNames>
    <definedName name="_xlnm._FilterDatabase" localSheetId="0" hidden="1">'Theo Dõi Công Việc'!$A$1:$I$21</definedName>
    <definedName name="_xlnm._FilterDatabase" localSheetId="1" hidden="1">'Kiểm Tra Yêu Cầu'!$A$1:$F$14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b val="1"/>
    </font>
  </fonts>
  <fills count="4">
    <fill>
      <patternFill/>
    </fill>
    <fill>
      <patternFill patternType="gray125"/>
    </fill>
    <fill>
      <patternFill patternType="solid">
        <fgColor rgb="001F3864"/>
        <bgColor rgb="001F3864"/>
      </patternFill>
    </fill>
    <fill>
      <patternFill patternType="solid">
        <fgColor rgb="00F5F7FA"/>
        <bgColor rgb="00F5F7FA"/>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2" borderId="0" applyAlignment="1" pivotButton="0" quotePrefix="0" xfId="0">
      <alignment wrapText="1"/>
    </xf>
    <xf numFmtId="0" fontId="0" fillId="0" borderId="0" applyAlignment="1" pivotButton="0" quotePrefix="0" xfId="0">
      <alignment wrapText="1"/>
    </xf>
    <xf numFmtId="0" fontId="0" fillId="3" borderId="0" pivotButton="0" quotePrefix="0" xfId="0"/>
    <xf numFmtId="0" fontId="0" fillId="3" borderId="0" applyAlignment="1" pivotButton="0" quotePrefix="0" xfId="0">
      <alignment wrapText="1"/>
    </xf>
    <xf numFmtId="10" fontId="0" fillId="0" borderId="0" pivotButton="0" quotePrefix="0" xfId="0"/>
    <xf numFmtId="0" fontId="2" fillId="0" borderId="0" pivotButton="0" quotePrefix="0" xfId="0"/>
  </cellXfs>
  <cellStyles count="1">
    <cellStyle name="Normal" xfId="0" builtinId="0" hidden="0"/>
  </cellStyles>
  <dxfs count="7">
    <dxf>
      <fill>
        <patternFill patternType="solid">
          <fgColor rgb="00FFF2CC"/>
          <bgColor rgb="00FFF2CC"/>
        </patternFill>
      </fill>
    </dxf>
    <dxf>
      <fill>
        <patternFill patternType="solid">
          <fgColor rgb="00DDEBF7"/>
          <bgColor rgb="00DDEBF7"/>
        </patternFill>
      </fill>
    </dxf>
    <dxf>
      <fill>
        <patternFill patternType="solid">
          <fgColor rgb="00C6EFCE"/>
          <bgColor rgb="00C6EFCE"/>
        </patternFill>
      </fill>
    </dxf>
    <dxf>
      <fill>
        <patternFill patternType="solid">
          <fgColor rgb="00E2EFDA"/>
          <bgColor rgb="00E2EFDA"/>
        </patternFill>
      </fill>
    </dxf>
    <dxf>
      <fill>
        <patternFill patternType="solid">
          <fgColor rgb="00FCE4D6"/>
          <bgColor rgb="00FCE4D6"/>
        </patternFill>
      </fill>
    </dxf>
    <dxf>
      <fill>
        <patternFill patternType="solid">
          <fgColor rgb="00D9E1F2"/>
          <bgColor rgb="00D9E1F2"/>
        </patternFill>
      </fill>
    </dxf>
    <dxf>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5" customWidth="1" min="2" max="2"/>
    <col width="45" customWidth="1" min="3" max="3"/>
    <col width="40" customWidth="1" min="9" max="9"/>
  </cols>
  <sheetData>
    <row r="1">
      <c r="A1" s="1" t="inlineStr">
        <is>
          <t>Mã</t>
        </is>
      </c>
      <c r="B1" s="1" t="inlineStr">
        <is>
          <t>Tính năng</t>
        </is>
      </c>
      <c r="C1" s="2" t="inlineStr">
        <is>
          <t>Công việc</t>
        </is>
      </c>
      <c r="D1" s="1" t="inlineStr">
        <is>
          <t>Loại</t>
        </is>
      </c>
      <c r="E1" s="1" t="inlineStr">
        <is>
          <t>Thành viên</t>
        </is>
      </c>
      <c r="F1" s="1" t="inlineStr">
        <is>
          <t>Giờ ước tính</t>
        </is>
      </c>
      <c r="G1" s="1" t="inlineStr">
        <is>
          <t>Trạng thái</t>
        </is>
      </c>
      <c r="H1" s="1" t="inlineStr">
        <is>
          <t>Hạn chót</t>
        </is>
      </c>
      <c r="I1" s="2" t="inlineStr">
        <is>
          <t>Ghi chú</t>
        </is>
      </c>
    </row>
    <row r="2">
      <c r="A2" t="inlineStr">
        <is>
          <t>T01</t>
        </is>
      </c>
      <c r="B2" t="inlineStr">
        <is>
          <t>Mô hình hoá</t>
        </is>
      </c>
      <c r="C2" s="3" t="inlineStr">
        <is>
          <t>Thiết kế State, Actions, Start, Goal, Transition</t>
        </is>
      </c>
      <c r="D2" t="inlineStr">
        <is>
          <t>Tài liệu</t>
        </is>
      </c>
      <c r="E2" t="inlineStr">
        <is>
          <t>Member 1</t>
        </is>
      </c>
      <c r="F2" t="n">
        <v>3</v>
      </c>
      <c r="G2" t="inlineStr">
        <is>
          <t>HOÀN THÀNH</t>
        </is>
      </c>
      <c r="H2" t="inlineStr">
        <is>
          <t>2026-10-04</t>
        </is>
      </c>
      <c r="I2" s="3" t="inlineStr">
        <is>
          <t>Đã hoàn thành trong docs/03, docs/02. -&gt; Đã merge PR #1</t>
        </is>
      </c>
    </row>
    <row r="3">
      <c r="A3" s="4" t="inlineStr">
        <is>
          <t>T02</t>
        </is>
      </c>
      <c r="B3" s="4" t="inlineStr">
        <is>
          <t>Core</t>
        </is>
      </c>
      <c r="C3" s="5" t="inlineStr">
        <is>
          <t>Cài đặt state.py, action.py, node.py, parser.py</t>
        </is>
      </c>
      <c r="D3" s="4" t="inlineStr">
        <is>
          <t>Code</t>
        </is>
      </c>
      <c r="E3" s="4" t="inlineStr">
        <is>
          <t>Member 1</t>
        </is>
      </c>
      <c r="F3" s="4" t="n">
        <v>5</v>
      </c>
      <c r="G3" s="4" t="inlineStr">
        <is>
          <t>HOÀN THÀNH</t>
        </is>
      </c>
      <c r="H3" s="4" t="inlineStr">
        <is>
          <t>2026-10-05</t>
        </is>
      </c>
      <c r="I3" s="5" t="inlineStr">
        <is>
          <t>Đảm bảo hash O(1), __slots__, immutability. -&gt; Đã merge PR #1</t>
        </is>
      </c>
    </row>
    <row r="4">
      <c r="A4" t="inlineStr">
        <is>
          <t>T03</t>
        </is>
      </c>
      <c r="B4" t="inlineStr">
        <is>
          <t>Unit Test (Core)</t>
        </is>
      </c>
      <c r="C4" s="3" t="inlineStr">
        <is>
          <t>Viết Unit Test cho Core (test_state &amp; test_parser)</t>
        </is>
      </c>
      <c r="D4" t="inlineStr">
        <is>
          <t>Kiểm thử</t>
        </is>
      </c>
      <c r="E4" t="inlineStr">
        <is>
          <t>Member 1</t>
        </is>
      </c>
      <c r="F4" t="n">
        <v>4</v>
      </c>
      <c r="G4" t="inlineStr">
        <is>
          <t>HOÀN THÀNH</t>
        </is>
      </c>
      <c r="H4" t="inlineStr">
        <is>
          <t>2026-10-05</t>
        </is>
      </c>
      <c r="I4" s="3" t="inlineStr">
        <is>
          <t>Đã hoàn thành 100% bao trùm edge cases (test_state 9/9, test_parser 2/2). -&gt; Đã merge PR #1</t>
        </is>
      </c>
    </row>
    <row r="5">
      <c r="A5" s="4" t="inlineStr">
        <is>
          <t>T04</t>
        </is>
      </c>
      <c r="B5" s="4" t="inlineStr">
        <is>
          <t>Giao diện</t>
        </is>
      </c>
      <c r="C5" s="5" t="inlineStr">
        <is>
          <t>Khởi tạo Pygame, load map tĩnh</t>
        </is>
      </c>
      <c r="D5" s="4" t="inlineStr">
        <is>
          <t>Code</t>
        </is>
      </c>
      <c r="E5" s="4" t="inlineStr">
        <is>
          <t>Member 4</t>
        </is>
      </c>
      <c r="F5" s="4" t="n">
        <v>5</v>
      </c>
      <c r="G5" s="4" t="inlineStr">
        <is>
          <t>CẦN LÀM</t>
        </is>
      </c>
      <c r="H5" s="4" t="inlineStr">
        <is>
          <t>2026-10-05</t>
        </is>
      </c>
      <c r="I5" s="5" t="inlineStr">
        <is>
          <t>Tỷ lệ động, tương thích macOS. -&gt; PR #2</t>
        </is>
      </c>
    </row>
    <row r="6">
      <c r="A6" t="inlineStr">
        <is>
          <t>T05</t>
        </is>
      </c>
      <c r="B6" t="inlineStr">
        <is>
          <t>UCS</t>
        </is>
      </c>
      <c r="C6" s="3" t="inlineStr">
        <is>
          <t>Cài đặt thuật toán UCS &amp; Unit Test kiểm thử tối ưu</t>
        </is>
      </c>
      <c r="D6" t="inlineStr">
        <is>
          <t>Code</t>
        </is>
      </c>
      <c r="E6" t="inlineStr">
        <is>
          <t>Member 1</t>
        </is>
      </c>
      <c r="F6" t="n">
        <v>5</v>
      </c>
      <c r="G6" t="inlineStr">
        <is>
          <t>CẦN LÀM</t>
        </is>
      </c>
      <c r="H6" t="inlineStr">
        <is>
          <t>2026-10-06</t>
        </is>
      </c>
      <c r="I6" s="3" t="inlineStr">
        <is>
          <t>Cài ucs.py và hoàn thiện test_ucs_optimality trong test_search.py. -&gt; PR #3</t>
        </is>
      </c>
    </row>
    <row r="7">
      <c r="A7" s="4" t="inlineStr">
        <is>
          <t>T06</t>
        </is>
      </c>
      <c r="B7" s="4" t="inlineStr">
        <is>
          <t>Heuristic</t>
        </is>
      </c>
      <c r="C7" s="5" t="inlineStr">
        <is>
          <t>Thiết kế Heuristic Hungarian Bipartite &amp; Deadlock</t>
        </is>
      </c>
      <c r="D7" s="4" t="inlineStr">
        <is>
          <t>Tài liệu</t>
        </is>
      </c>
      <c r="E7" s="4" t="inlineStr">
        <is>
          <t>Member 2</t>
        </is>
      </c>
      <c r="F7" s="4" t="n">
        <v>4</v>
      </c>
      <c r="G7" s="4" t="inlineStr">
        <is>
          <t>CẦN LÀM</t>
        </is>
      </c>
      <c r="H7" s="4" t="inlineStr">
        <is>
          <t>2026-10-06</t>
        </is>
      </c>
      <c r="I7" s="5" t="inlineStr">
        <is>
          <t>CẤM Euclidean, Manhattan. Đã hoàn thiện tài liệu docs/05.</t>
        </is>
      </c>
    </row>
    <row r="8">
      <c r="A8" t="inlineStr">
        <is>
          <t>T07</t>
        </is>
      </c>
      <c r="B8" t="inlineStr">
        <is>
          <t>Luật Đối Kháng</t>
        </is>
      </c>
      <c r="C8" s="3" t="inlineStr">
        <is>
          <t>Thiết kế luật 2 agent, xử lý xung đột, BaseAgent interface</t>
        </is>
      </c>
      <c r="D8" t="inlineStr">
        <is>
          <t>Tài liệu</t>
        </is>
      </c>
      <c r="E8" t="inlineStr">
        <is>
          <t>Member 3</t>
        </is>
      </c>
      <c r="F8" t="n">
        <v>4</v>
      </c>
      <c r="G8" t="inlineStr">
        <is>
          <t>CẦN LÀM</t>
        </is>
      </c>
      <c r="H8" t="inlineStr">
        <is>
          <t>2026-10-06</t>
        </is>
      </c>
      <c r="I8" s="3" t="inlineStr">
        <is>
          <t>Quy tắc va chạm đồng thời, swap, cướp hộp. Đã tạo base_agent.py, docs/06.</t>
        </is>
      </c>
    </row>
    <row r="9">
      <c r="A9" s="4" t="inlineStr">
        <is>
          <t>T08</t>
        </is>
      </c>
      <c r="B9" s="4" t="inlineStr">
        <is>
          <t>A* Search</t>
        </is>
      </c>
      <c r="C9" s="5" t="inlineStr">
        <is>
          <t>Cài đặt A* Search &amp; Unit Test so sánh UCS</t>
        </is>
      </c>
      <c r="D9" s="4" t="inlineStr">
        <is>
          <t>Code</t>
        </is>
      </c>
      <c r="E9" s="4" t="inlineStr">
        <is>
          <t>Member 2</t>
        </is>
      </c>
      <c r="F9" s="4" t="n">
        <v>6</v>
      </c>
      <c r="G9" s="4" t="inlineStr">
        <is>
          <t>CẦN LÀM</t>
        </is>
      </c>
      <c r="H9" s="4" t="inlineStr">
        <is>
          <t>2026-10-08</t>
        </is>
      </c>
      <c r="I9" s="5" t="inlineStr">
        <is>
          <t>Cài astar.py và hoàn thiện test_astar_optimality trong test_search.py. -&gt; PR #4</t>
        </is>
      </c>
    </row>
    <row r="10">
      <c r="A10" t="inlineStr">
        <is>
          <t>T09</t>
        </is>
      </c>
      <c r="B10" t="inlineStr">
        <is>
          <t>Competitive Env</t>
        </is>
      </c>
      <c r="C10" s="3" t="inlineStr">
        <is>
          <t>Cài đặt ConflictResolver, Engine &amp; Unit Test luật</t>
        </is>
      </c>
      <c r="D10" t="inlineStr">
        <is>
          <t>Code</t>
        </is>
      </c>
      <c r="E10" t="inlineStr">
        <is>
          <t>Member 3</t>
        </is>
      </c>
      <c r="F10" t="n">
        <v>6</v>
      </c>
      <c r="G10" t="inlineStr">
        <is>
          <t>CẦN LÀM</t>
        </is>
      </c>
      <c r="H10" t="inlineStr">
        <is>
          <t>2026-10-08</t>
        </is>
      </c>
      <c r="I10" s="3" t="inlineStr">
        <is>
          <t>Cài conflict.py, engine.py, hoàn thiện test_competitive.py. Bản đồ competitive_map.txt. -&gt; PR #5</t>
        </is>
      </c>
    </row>
    <row r="11">
      <c r="A11" s="4" t="inlineStr">
        <is>
          <t>T10</t>
        </is>
      </c>
      <c r="B11" s="4" t="inlineStr">
        <is>
          <t>GUI Playback</t>
        </is>
      </c>
      <c r="C11" s="5" t="inlineStr">
        <is>
          <t>Tích hợp thuật toán vào Pygame GUI (Single-Agent Playback)</t>
        </is>
      </c>
      <c r="D11" s="4" t="inlineStr">
        <is>
          <t>Code</t>
        </is>
      </c>
      <c r="E11" s="4" t="inlineStr">
        <is>
          <t>Member 4</t>
        </is>
      </c>
      <c r="F11" s="4" t="n">
        <v>6</v>
      </c>
      <c r="G11" s="4" t="inlineStr">
        <is>
          <t>CẦN LÀM</t>
        </is>
      </c>
      <c r="H11" s="4" t="inlineStr">
        <is>
          <t>2026-10-08</t>
        </is>
      </c>
      <c r="I11" s="5" t="inlineStr">
        <is>
          <t>Có pause, tiến, lùi bằng phím Space/Arrow. -&gt; PR #6</t>
        </is>
      </c>
    </row>
    <row r="12">
      <c r="A12" t="inlineStr">
        <is>
          <t>T11</t>
        </is>
      </c>
      <c r="B12" t="inlineStr">
        <is>
          <t>AI Agent</t>
        </is>
      </c>
      <c r="C12" s="3" t="inlineStr">
        <is>
          <t>Cài đặt 2 AI Agent độc lập (agent_a, agent_b) &amp; TimeoutGuard</t>
        </is>
      </c>
      <c r="D12" t="inlineStr">
        <is>
          <t>Code</t>
        </is>
      </c>
      <c r="E12" t="inlineStr">
        <is>
          <t>Member 3</t>
        </is>
      </c>
      <c r="F12" t="n">
        <v>7</v>
      </c>
      <c r="G12" t="inlineStr">
        <is>
          <t>CẦN LÀM</t>
        </is>
      </c>
      <c r="H12" t="inlineStr">
        <is>
          <t>2026-10-10</t>
        </is>
      </c>
      <c r="I12" s="3" t="inlineStr">
        <is>
          <t>Thời gian phản hồi &lt;= 1000ms mỗi lượt, test_timeout_guard. -&gt; PR #7</t>
        </is>
      </c>
    </row>
    <row r="13">
      <c r="A13" s="4" t="inlineStr">
        <is>
          <t>T12</t>
        </is>
      </c>
      <c r="B13" s="4" t="inlineStr">
        <is>
          <t>Admissibility</t>
        </is>
      </c>
      <c r="C13" s="5" t="inlineStr">
        <is>
          <t>Thực nghiệm Admissible/Consistent &amp; Unit Test Heuristic</t>
        </is>
      </c>
      <c r="D13" s="4" t="inlineStr">
        <is>
          <t>Kiểm thử</t>
        </is>
      </c>
      <c r="E13" s="4" t="inlineStr">
        <is>
          <t>Member 2</t>
        </is>
      </c>
      <c r="F13" s="4" t="n">
        <v>5</v>
      </c>
      <c r="G13" s="4" t="inlineStr">
        <is>
          <t>CẦN LÀM</t>
        </is>
      </c>
      <c r="H13" s="4" t="inlineStr">
        <is>
          <t>2026-10-11</t>
        </is>
      </c>
      <c r="I13" s="5" t="inlineStr">
        <is>
          <t>Chạy admissibility.py, hoàn thiện test_heuristic.py (0% vi phạm).</t>
        </is>
      </c>
    </row>
    <row r="14">
      <c r="A14" t="inlineStr">
        <is>
          <t>T13</t>
        </is>
      </c>
      <c r="B14" t="inlineStr">
        <is>
          <t>Benchmark</t>
        </is>
      </c>
      <c r="C14" s="3" t="inlineStr">
        <is>
          <t>Cài script benchmark.py đo lường UCS vs A* (Time &amp; Memory)</t>
        </is>
      </c>
      <c r="D14" t="inlineStr">
        <is>
          <t>Code</t>
        </is>
      </c>
      <c r="E14" t="inlineStr">
        <is>
          <t>Member 4</t>
        </is>
      </c>
      <c r="F14" t="n">
        <v>4</v>
      </c>
      <c r="G14" t="inlineStr">
        <is>
          <t>CẦN LÀM</t>
        </is>
      </c>
      <c r="H14" t="inlineStr">
        <is>
          <t>2026-10-11</t>
        </is>
      </c>
      <c r="I14" s="3" t="inlineStr">
        <is>
          <t>Đo lường các map mẫu, xuất bảng số liệu &amp; đồ thị so sánh. -&gt; PR #8</t>
        </is>
      </c>
    </row>
    <row r="15">
      <c r="A15" s="4" t="inlineStr">
        <is>
          <t>T14</t>
        </is>
      </c>
      <c r="B15" s="4" t="inlineStr">
        <is>
          <t>Cross-Testing</t>
        </is>
      </c>
      <c r="C15" s="5" t="inlineStr">
        <is>
          <t>Chạy toàn bộ 5 bộ Unit Test (21+ tests), fix bug toàn hệ thống</t>
        </is>
      </c>
      <c r="D15" s="4" t="inlineStr">
        <is>
          <t>Kiểm thử</t>
        </is>
      </c>
      <c r="E15" s="4" t="inlineStr">
        <is>
          <t>Member 1</t>
        </is>
      </c>
      <c r="F15" s="4" t="n">
        <v>3</v>
      </c>
      <c r="G15" s="4" t="inlineStr">
        <is>
          <t>CẦN LÀM</t>
        </is>
      </c>
      <c r="H15" s="4" t="inlineStr">
        <is>
          <t>2026-10-12</t>
        </is>
      </c>
      <c r="I15" s="5" t="inlineStr">
        <is>
          <t>Chạy discover test_*.py đạt 100% OK, review và merge toàn bộ code vào main.</t>
        </is>
      </c>
    </row>
    <row r="16">
      <c r="A16" t="inlineStr">
        <is>
          <t>T15</t>
        </is>
      </c>
      <c r="B16" t="inlineStr">
        <is>
          <t>Slide 1,2,3</t>
        </is>
      </c>
      <c r="C16" s="3" t="inlineStr">
        <is>
          <t>Soạn slide Formulation &amp; UCS</t>
        </is>
      </c>
      <c r="D16" t="inlineStr">
        <is>
          <t>Báo cáo</t>
        </is>
      </c>
      <c r="E16" t="inlineStr">
        <is>
          <t>Member 1</t>
        </is>
      </c>
      <c r="F16" t="n">
        <v>2</v>
      </c>
      <c r="G16" t="inlineStr">
        <is>
          <t>CẦN LÀM</t>
        </is>
      </c>
      <c r="H16" t="inlineStr">
        <is>
          <t>2026-10-13</t>
        </is>
      </c>
      <c r="I16" s="3" t="inlineStr">
        <is>
          <t>Slide 4:3, nền sáng, chữ đen</t>
        </is>
      </c>
    </row>
    <row r="17">
      <c r="A17" s="4" t="inlineStr">
        <is>
          <t>T16</t>
        </is>
      </c>
      <c r="B17" s="4" t="inlineStr">
        <is>
          <t>Slide 4,5,6</t>
        </is>
      </c>
      <c r="C17" s="5" t="inlineStr">
        <is>
          <t>Soạn slide Heuristic, A*, Chứng minh</t>
        </is>
      </c>
      <c r="D17" s="4" t="inlineStr">
        <is>
          <t>Báo cáo</t>
        </is>
      </c>
      <c r="E17" s="4" t="inlineStr">
        <is>
          <t>Member 2</t>
        </is>
      </c>
      <c r="F17" s="4" t="n">
        <v>2</v>
      </c>
      <c r="G17" s="4" t="inlineStr">
        <is>
          <t>CẦN LÀM</t>
        </is>
      </c>
      <c r="H17" s="4" t="inlineStr">
        <is>
          <t>2026-10-13</t>
        </is>
      </c>
      <c r="I17" s="5" t="inlineStr">
        <is>
          <t>Rõ ràng khi in trắng đen</t>
        </is>
      </c>
    </row>
    <row r="18">
      <c r="A18" t="inlineStr">
        <is>
          <t>T17</t>
        </is>
      </c>
      <c r="B18" t="inlineStr">
        <is>
          <t>Slide 7,8</t>
        </is>
      </c>
      <c r="C18" s="3" t="inlineStr">
        <is>
          <t>Soạn slide Competitive &amp; AI</t>
        </is>
      </c>
      <c r="D18" t="inlineStr">
        <is>
          <t>Báo cáo</t>
        </is>
      </c>
      <c r="E18" t="inlineStr">
        <is>
          <t>Member 3</t>
        </is>
      </c>
      <c r="F18" t="n">
        <v>2</v>
      </c>
      <c r="G18" t="inlineStr">
        <is>
          <t>CẦN LÀM</t>
        </is>
      </c>
      <c r="H18" t="inlineStr">
        <is>
          <t>2026-10-13</t>
        </is>
      </c>
      <c r="I18" s="3" t="inlineStr">
        <is>
          <t>Không copy raw source code</t>
        </is>
      </c>
    </row>
    <row r="19">
      <c r="A19" s="4" t="inlineStr">
        <is>
          <t>T18</t>
        </is>
      </c>
      <c r="B19" s="4" t="inlineStr">
        <is>
          <t>Slide 9,10</t>
        </is>
      </c>
      <c r="C19" s="5" t="inlineStr">
        <is>
          <t>Soạn slide GUI &amp; Benchmark</t>
        </is>
      </c>
      <c r="D19" s="4" t="inlineStr">
        <is>
          <t>Báo cáo</t>
        </is>
      </c>
      <c r="E19" s="4" t="inlineStr">
        <is>
          <t>Member 4</t>
        </is>
      </c>
      <c r="F19" s="4" t="n">
        <v>2</v>
      </c>
      <c r="G19" s="4" t="inlineStr">
        <is>
          <t>CẦN LÀM</t>
        </is>
      </c>
      <c r="H19" s="4" t="inlineStr">
        <is>
          <t>2026-10-13</t>
        </is>
      </c>
      <c r="I19" s="5" t="inlineStr">
        <is>
          <t>Thêm bảng % hoàn thành task</t>
        </is>
      </c>
    </row>
    <row r="20">
      <c r="A20" t="inlineStr">
        <is>
          <t>T19</t>
        </is>
      </c>
      <c r="B20" t="inlineStr">
        <is>
          <t>Video Demo</t>
        </is>
      </c>
      <c r="C20" s="3" t="inlineStr">
        <is>
          <t>Quay video demo sản phẩm (&lt; 3 phút)</t>
        </is>
      </c>
      <c r="D20" t="inlineStr">
        <is>
          <t>Demo</t>
        </is>
      </c>
      <c r="E20" t="inlineStr">
        <is>
          <t>Member 4</t>
        </is>
      </c>
      <c r="F20" t="n">
        <v>2</v>
      </c>
      <c r="G20" t="inlineStr">
        <is>
          <t>CẦN LÀM</t>
        </is>
      </c>
      <c r="H20" t="inlineStr">
        <is>
          <t>2026-10-14</t>
        </is>
      </c>
      <c r="I20" s="3" t="inlineStr">
        <is>
          <t>Up link URL vào demo.txt</t>
        </is>
      </c>
    </row>
    <row r="21">
      <c r="A21" s="4" t="inlineStr">
        <is>
          <t>T20</t>
        </is>
      </c>
      <c r="B21" s="4" t="inlineStr">
        <is>
          <t>Đóng gói file</t>
        </is>
      </c>
      <c r="C21" s="5" t="inlineStr">
        <is>
          <t>Mỗi người tự nộp file zip chứa ID của mình</t>
        </is>
      </c>
      <c r="D21" s="4" t="inlineStr">
        <is>
          <t>Báo cáo</t>
        </is>
      </c>
      <c r="E21" s="4" t="inlineStr">
        <is>
          <t>Member 1</t>
        </is>
      </c>
      <c r="F21" s="4" t="n">
        <v>1</v>
      </c>
      <c r="G21" s="4" t="inlineStr">
        <is>
          <t>CẦN LÀM</t>
        </is>
      </c>
      <c r="H21" s="4" t="inlineStr">
        <is>
          <t>2026-10-15</t>
        </is>
      </c>
      <c r="I21" s="5" t="inlineStr">
        <is>
          <t>BẮT BUỘC: 4 người tự nộp riêng. Tắt Copilot khi code để tránh AI detector.</t>
        </is>
      </c>
    </row>
  </sheetData>
  <autoFilter ref="A1:I21"/>
  <conditionalFormatting sqref="G2:G21">
    <cfRule type="cellIs" priority="1" operator="equal" dxfId="0">
      <formula>"CẦN LÀM"</formula>
    </cfRule>
    <cfRule type="cellIs" priority="2" operator="equal" dxfId="1">
      <formula>"ĐANG LÀM"</formula>
    </cfRule>
    <cfRule type="cellIs" priority="3" operator="equal" dxfId="2">
      <formula>"HOÀN THÀNH"</formula>
    </cfRule>
  </conditionalFormatting>
  <conditionalFormatting sqref="E2:E21">
    <cfRule type="cellIs" priority="4" operator="equal" dxfId="3">
      <formula>"Member 1"</formula>
    </cfRule>
    <cfRule type="cellIs" priority="5" operator="equal" dxfId="4">
      <formula>"Member 2"</formula>
    </cfRule>
    <cfRule type="cellIs" priority="6" operator="equal" dxfId="5">
      <formula>"Member 3"</formula>
    </cfRule>
    <cfRule type="cellIs" priority="7" operator="equal" dxfId="0">
      <formula>"Member 4"</formula>
    </cfRule>
  </conditionalFormatting>
  <dataValidations count="1">
    <dataValidation sqref="G2 G3 G4 G5 G6 G7 G8 G9 G10 G11 G12 G13 G14 G15 G16 G17 G18 G19 G20 G21" showDropDown="0" showInputMessage="0" showErrorMessage="0" allowBlank="0" type="list">
      <formula1>"CẦN LÀM,ĐANG LÀM,HOÀN THÀNH"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20" customWidth="1" min="3" max="3"/>
  </cols>
  <sheetData>
    <row r="1">
      <c r="A1" s="1" t="inlineStr">
        <is>
          <t>Yêu cầu</t>
        </is>
      </c>
      <c r="B1" s="1" t="inlineStr">
        <is>
          <t>Điểm thành phần</t>
        </is>
      </c>
      <c r="C1" s="1" t="inlineStr">
        <is>
          <t>Thành viên</t>
        </is>
      </c>
      <c r="D1" s="1" t="inlineStr">
        <is>
          <t>Đã lập trình?</t>
        </is>
      </c>
      <c r="E1" s="1" t="inlineStr">
        <is>
          <t>Đã kiểm thử?</t>
        </is>
      </c>
      <c r="F1" s="1" t="inlineStr">
        <is>
          <t>Đã tài liệu hóa?</t>
        </is>
      </c>
    </row>
    <row r="2">
      <c r="A2" t="inlineStr">
        <is>
          <t>Formulation - Biểu diễn State-Space, Actions, Goal</t>
        </is>
      </c>
      <c r="B2" t="inlineStr">
        <is>
          <t>1.0</t>
        </is>
      </c>
      <c r="C2" t="inlineStr">
        <is>
          <t>Member 1</t>
        </is>
      </c>
      <c r="D2" t="inlineStr">
        <is>
          <t>Có</t>
        </is>
      </c>
      <c r="E2" t="inlineStr">
        <is>
          <t>Có</t>
        </is>
      </c>
      <c r="F2" t="inlineStr">
        <is>
          <t>Có</t>
        </is>
      </c>
    </row>
    <row r="3">
      <c r="A3" t="inlineStr">
        <is>
          <t>UCS - Cài đặt UCS algorithm</t>
        </is>
      </c>
      <c r="B3" t="inlineStr">
        <is>
          <t>0.5</t>
        </is>
      </c>
      <c r="C3" t="inlineStr">
        <is>
          <t>Member 1</t>
        </is>
      </c>
      <c r="D3" t="inlineStr">
        <is>
          <t>Chưa</t>
        </is>
      </c>
      <c r="E3" t="inlineStr">
        <is>
          <t>Chưa</t>
        </is>
      </c>
      <c r="F3" t="inlineStr">
        <is>
          <t>Có</t>
        </is>
      </c>
    </row>
    <row r="4">
      <c r="A4" t="inlineStr">
        <is>
          <t>A* - Cài đặt A* algorithm</t>
        </is>
      </c>
      <c r="B4" t="inlineStr">
        <is>
          <t>0.5</t>
        </is>
      </c>
      <c r="C4" t="inlineStr">
        <is>
          <t>Member 2</t>
        </is>
      </c>
      <c r="D4" t="inlineStr">
        <is>
          <t>Chưa</t>
        </is>
      </c>
      <c r="E4" t="inlineStr">
        <is>
          <t>Chưa</t>
        </is>
      </c>
      <c r="F4" t="inlineStr">
        <is>
          <t>Có</t>
        </is>
      </c>
    </row>
    <row r="5">
      <c r="A5" t="inlineStr">
        <is>
          <t>Heuristic - Không dùng Manhattan/Euclidean</t>
        </is>
      </c>
      <c r="B5" t="inlineStr">
        <is>
          <t>0.5</t>
        </is>
      </c>
      <c r="C5" t="inlineStr">
        <is>
          <t>Member 2</t>
        </is>
      </c>
      <c r="D5" t="inlineStr">
        <is>
          <t>Chưa</t>
        </is>
      </c>
      <c r="E5" t="inlineStr">
        <is>
          <t>Chưa</t>
        </is>
      </c>
      <c r="F5" t="inlineStr">
        <is>
          <t>Có</t>
        </is>
      </c>
    </row>
    <row r="6">
      <c r="A6" t="inlineStr">
        <is>
          <t>Complexity - So sánh time và space complexity</t>
        </is>
      </c>
      <c r="B6" t="inlineStr">
        <is>
          <t>1.0</t>
        </is>
      </c>
      <c r="C6" t="inlineStr">
        <is>
          <t>Member 4</t>
        </is>
      </c>
      <c r="D6" t="inlineStr">
        <is>
          <t>Chưa</t>
        </is>
      </c>
      <c r="E6" t="inlineStr">
        <is>
          <t>Chưa</t>
        </is>
      </c>
      <c r="F6" t="inlineStr">
        <is>
          <t>Có</t>
        </is>
      </c>
    </row>
    <row r="7">
      <c r="A7" t="inlineStr">
        <is>
          <t>Admissibility &amp; Consistency - Đánh giá Heuristic</t>
        </is>
      </c>
      <c r="B7" t="inlineStr">
        <is>
          <t>1.0</t>
        </is>
      </c>
      <c r="C7" t="inlineStr">
        <is>
          <t>Member 2</t>
        </is>
      </c>
      <c r="D7" t="inlineStr">
        <is>
          <t>Chưa</t>
        </is>
      </c>
      <c r="E7" t="inlineStr">
        <is>
          <t>Chưa</t>
        </is>
      </c>
      <c r="F7" t="inlineStr">
        <is>
          <t>Có</t>
        </is>
      </c>
    </row>
    <row r="8">
      <c r="A8" t="inlineStr">
        <is>
          <t>GUI - Giao diện Pygame, UX, Playback</t>
        </is>
      </c>
      <c r="B8" t="inlineStr">
        <is>
          <t>1.0</t>
        </is>
      </c>
      <c r="C8" t="inlineStr">
        <is>
          <t>Member 4</t>
        </is>
      </c>
      <c r="D8" t="inlineStr">
        <is>
          <t>Chưa</t>
        </is>
      </c>
      <c r="E8" t="inlineStr">
        <is>
          <t>Chưa</t>
        </is>
      </c>
      <c r="F8" t="inlineStr">
        <is>
          <t>Có</t>
        </is>
      </c>
    </row>
    <row r="9">
      <c r="A9" t="inlineStr">
        <is>
          <t>MacOS Support - Đảm bảo chạy trên Ventura Intel i5</t>
        </is>
      </c>
      <c r="B9" t="inlineStr">
        <is>
          <t>0.0</t>
        </is>
      </c>
      <c r="C9" t="inlineStr">
        <is>
          <t>Member 4</t>
        </is>
      </c>
      <c r="D9" t="inlineStr">
        <is>
          <t>Chưa</t>
        </is>
      </c>
      <c r="E9" t="inlineStr">
        <is>
          <t>Chưa</t>
        </is>
      </c>
      <c r="F9" t="inlineStr">
        <is>
          <t>Có</t>
        </is>
      </c>
    </row>
    <row r="10">
      <c r="A10" t="inlineStr">
        <is>
          <t>Competitive Rules - Mô hình trò chơi đối kháng</t>
        </is>
      </c>
      <c r="B10" t="inlineStr">
        <is>
          <t>1.0</t>
        </is>
      </c>
      <c r="C10" t="inlineStr">
        <is>
          <t>Member 3</t>
        </is>
      </c>
      <c r="D10" t="inlineStr">
        <is>
          <t>Chưa</t>
        </is>
      </c>
      <c r="E10" t="inlineStr">
        <is>
          <t>Chưa</t>
        </is>
      </c>
      <c r="F10" t="inlineStr">
        <is>
          <t>Có</t>
        </is>
      </c>
    </row>
    <row r="11">
      <c r="A11" t="inlineStr">
        <is>
          <t>AI Agents - 2 agent tự chơi dựa trên thuật toán &lt;1000ms</t>
        </is>
      </c>
      <c r="B11" t="inlineStr">
        <is>
          <t>1.0</t>
        </is>
      </c>
      <c r="C11" t="inlineStr">
        <is>
          <t>Member 3</t>
        </is>
      </c>
      <c r="D11" t="inlineStr">
        <is>
          <t>Chưa</t>
        </is>
      </c>
      <c r="E11" t="inlineStr">
        <is>
          <t>Chưa</t>
        </is>
      </c>
      <c r="F11" t="inlineStr">
        <is>
          <t>Có</t>
        </is>
      </c>
    </row>
    <row r="12">
      <c r="A12" t="inlineStr">
        <is>
          <t>Competitive GUI - Giao diện 2 agent phân màu</t>
        </is>
      </c>
      <c r="B12" t="inlineStr">
        <is>
          <t>1.0</t>
        </is>
      </c>
      <c r="C12" t="inlineStr">
        <is>
          <t>Member 3</t>
        </is>
      </c>
      <c r="D12" t="inlineStr">
        <is>
          <t>Chưa</t>
        </is>
      </c>
      <c r="E12" t="inlineStr">
        <is>
          <t>Chưa</t>
        </is>
      </c>
      <c r="F12" t="inlineStr">
        <is>
          <t>Có</t>
        </is>
      </c>
    </row>
    <row r="13">
      <c r="A13" t="inlineStr">
        <is>
          <t>Presentation - Thuyết trình &lt;5p, Slide 4:3, Video &lt;3p</t>
        </is>
      </c>
      <c r="B13" t="inlineStr">
        <is>
          <t>1.0</t>
        </is>
      </c>
      <c r="C13" t="inlineStr">
        <is>
          <t>Member 1,2,3,4</t>
        </is>
      </c>
      <c r="D13" t="inlineStr">
        <is>
          <t>Chưa</t>
        </is>
      </c>
      <c r="E13" t="inlineStr">
        <is>
          <t>Chưa</t>
        </is>
      </c>
      <c r="F13" t="inlineStr">
        <is>
          <t>Có</t>
        </is>
      </c>
    </row>
    <row r="14">
      <c r="A14" t="inlineStr">
        <is>
          <t>Submission - Nộp source, report, demo, đúng định dạng</t>
        </is>
      </c>
      <c r="B14" t="inlineStr">
        <is>
          <t>0.0</t>
        </is>
      </c>
      <c r="C14" t="inlineStr">
        <is>
          <t>Member 1</t>
        </is>
      </c>
      <c r="D14" t="inlineStr">
        <is>
          <t>Chưa</t>
        </is>
      </c>
      <c r="E14" t="inlineStr">
        <is>
          <t>Chưa</t>
        </is>
      </c>
      <c r="F14" t="inlineStr">
        <is>
          <t>Có</t>
        </is>
      </c>
    </row>
  </sheetData>
  <autoFilter ref="A1:F14"/>
  <conditionalFormatting sqref="D2:F14">
    <cfRule type="cellIs" priority="1" operator="equal" dxfId="2">
      <formula>"Xong"</formula>
    </cfRule>
    <cfRule type="cellIs" priority="2" operator="equal" dxfId="6">
      <formula>"Chưa"</formula>
    </cfRule>
  </conditionalFormatting>
  <dataValidations count="1">
    <dataValidation sqref="D2 D3 D4 D5 D6 D7 D8 D9 D10 D11 D12 D13 D14 E2 E3 E4 E5 E6 E7 E8 E9 E10 E11 E12 E13 E14 F2 F3 F4 F5 F6 F7 F8 F9 F10 F11 F12 F13 F14" showDropDown="0" showInputMessage="0" showErrorMessage="0" allowBlank="0" type="list">
      <formula1>"Chưa,Xong"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5" customWidth="1" min="1" max="1"/>
    <col width="20" customWidth="1" min="2" max="2"/>
    <col width="20" customWidth="1" min="3" max="3"/>
    <col width="20" customWidth="1" min="4" max="4"/>
    <col width="20" customWidth="1" min="5" max="5"/>
  </cols>
  <sheetData>
    <row r="1">
      <c r="A1" s="1" t="inlineStr">
        <is>
          <t>Thành viên</t>
        </is>
      </c>
      <c r="B1" s="1" t="inlineStr">
        <is>
          <t>Tổng số công việc</t>
        </is>
      </c>
      <c r="C1" s="1" t="inlineStr">
        <is>
          <t>Tổng giờ ước tính</t>
        </is>
      </c>
      <c r="D1" s="1" t="inlineStr">
        <is>
          <t>Công việc đã xong</t>
        </is>
      </c>
      <c r="E1" s="1" t="inlineStr">
        <is>
          <t>Tỷ lệ khối lượng %</t>
        </is>
      </c>
    </row>
    <row r="2">
      <c r="A2" t="inlineStr">
        <is>
          <t>Member 1</t>
        </is>
      </c>
      <c r="B2">
        <f>COUNTIF('Theo Dõi Công Việc'!E:E, A2)</f>
        <v/>
      </c>
      <c r="C2">
        <f>SUMIF('Theo Dõi Công Việc'!E:E, A2, 'Theo Dõi Công Việc'!F:F)</f>
        <v/>
      </c>
      <c r="D2">
        <f>COUNTIFS('Theo Dõi Công Việc'!E:E, A2, 'Theo Dõi Công Việc'!G:G, "HOÀN THÀNH")</f>
        <v/>
      </c>
      <c r="E2" s="6">
        <f>IF(SUM($C$2:$C$5)&gt;0, C2/SUM($C$2:$C$5), 0)</f>
        <v/>
      </c>
    </row>
    <row r="3">
      <c r="A3" t="inlineStr">
        <is>
          <t>Member 2</t>
        </is>
      </c>
      <c r="B3">
        <f>COUNTIF('Theo Dõi Công Việc'!E:E, A3)</f>
        <v/>
      </c>
      <c r="C3">
        <f>SUMIF('Theo Dõi Công Việc'!E:E, A3, 'Theo Dõi Công Việc'!F:F)</f>
        <v/>
      </c>
      <c r="D3">
        <f>COUNTIFS('Theo Dõi Công Việc'!E:E, A3, 'Theo Dõi Công Việc'!G:G, "HOÀN THÀNH")</f>
        <v/>
      </c>
      <c r="E3" s="6">
        <f>IF(SUM($C$2:$C$5)&gt;0, C3/SUM($C$2:$C$5), 0)</f>
        <v/>
      </c>
    </row>
    <row r="4">
      <c r="A4" t="inlineStr">
        <is>
          <t>Member 3</t>
        </is>
      </c>
      <c r="B4">
        <f>COUNTIF('Theo Dõi Công Việc'!E:E, A4)</f>
        <v/>
      </c>
      <c r="C4">
        <f>SUMIF('Theo Dõi Công Việc'!E:E, A4, 'Theo Dõi Công Việc'!F:F)</f>
        <v/>
      </c>
      <c r="D4">
        <f>COUNTIFS('Theo Dõi Công Việc'!E:E, A4, 'Theo Dõi Công Việc'!G:G, "HOÀN THÀNH")</f>
        <v/>
      </c>
      <c r="E4" s="6">
        <f>IF(SUM($C$2:$C$5)&gt;0, C4/SUM($C$2:$C$5), 0)</f>
        <v/>
      </c>
    </row>
    <row r="5">
      <c r="A5" t="inlineStr">
        <is>
          <t>Member 4</t>
        </is>
      </c>
      <c r="B5">
        <f>COUNTIF('Theo Dõi Công Việc'!E:E, A5)</f>
        <v/>
      </c>
      <c r="C5">
        <f>SUMIF('Theo Dõi Công Việc'!E:E, A5, 'Theo Dõi Công Việc'!F:F)</f>
        <v/>
      </c>
      <c r="D5">
        <f>COUNTIFS('Theo Dõi Công Việc'!E:E, A5, 'Theo Dõi Công Việc'!G:G, "HOÀN THÀNH")</f>
        <v/>
      </c>
      <c r="E5" s="6">
        <f>IF(SUM($C$2:$C$5)&gt;0, C5/SUM($C$2:$C$5), 0)</f>
        <v/>
      </c>
    </row>
    <row r="7">
      <c r="A7" s="7" t="inlineStr">
        <is>
          <t>Chênh lệch %</t>
        </is>
      </c>
      <c r="B7" s="6">
        <f>MAX(E2:E5)-MIN(E2:E5)</f>
        <v/>
      </c>
    </row>
    <row r="8">
      <c r="A8" s="7" t="inlineStr">
        <is>
          <t>Đánh giá cân bằng:</t>
        </is>
      </c>
      <c r="B8">
        <f>IF(B7&lt;=0.05,"✅ CÂN BẰNG",IF(B7&lt;=0.1,"⚠️ HƠI LỆCH","❌ LỆCH NHIỀU – CẦN ĐIỀU CHỈNH"))</f>
        <v/>
      </c>
    </row>
    <row r="9">
      <c r="A9" s="7" t="inlineStr">
        <is>
          <t>Tiến độ chung %</t>
        </is>
      </c>
      <c r="B9" s="6">
        <f>IF(SUM(B2:B5)&gt;0, SUM(D2:D5)/SUM(B2:B5), 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2026-10-02T06:23:37Z</dcterms:created>
  <dcterms:modified xmlns:dcterms="http://purl.org/dc/terms/" xmlns:xsi="http://www.w3.org/2001/XMLSchema-instance" xsi:type="dcterms:W3CDTF">2026-10-03T04:28:28Z</dcterms:modified>
</cp:coreProperties>
</file>